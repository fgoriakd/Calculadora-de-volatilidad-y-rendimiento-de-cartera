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g\Downloads\"/>
    </mc:Choice>
  </mc:AlternateContent>
  <xr:revisionPtr revIDLastSave="0" documentId="13_ncr:1_{2879372A-A5E4-4811-B958-F561D4B626D6}" xr6:coauthVersionLast="47" xr6:coauthVersionMax="47" xr10:uidLastSave="{00000000-0000-0000-0000-000000000000}"/>
  <bookViews>
    <workbookView xWindow="-28920" yWindow="-120" windowWidth="29040" windowHeight="15720" xr2:uid="{D4613D4A-225A-40B9-9F20-983DD0D486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" l="1"/>
  <c r="G22" i="1" s="1"/>
  <c r="E21" i="1"/>
  <c r="G21" i="1" s="1"/>
  <c r="E20" i="1"/>
  <c r="G20" i="1" s="1"/>
  <c r="E19" i="1"/>
  <c r="G19" i="1" s="1"/>
  <c r="G18" i="1"/>
  <c r="E18" i="1"/>
  <c r="G17" i="1"/>
  <c r="E17" i="1"/>
  <c r="G16" i="1"/>
  <c r="E16" i="1"/>
  <c r="E15" i="1"/>
  <c r="G15" i="1" s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E3" i="1"/>
  <c r="G3" i="1" s="1"/>
  <c r="M2" i="1" a="1"/>
  <c r="M2" i="1" s="1"/>
  <c r="G2" i="1"/>
  <c r="E2" i="1"/>
  <c r="F19" i="1" l="1"/>
  <c r="H19" i="1" s="1"/>
  <c r="F15" i="1"/>
  <c r="H15" i="1" s="1"/>
  <c r="F11" i="1"/>
  <c r="H11" i="1" s="1"/>
  <c r="F7" i="1"/>
  <c r="H7" i="1" s="1"/>
  <c r="F10" i="1"/>
  <c r="H10" i="1" s="1"/>
  <c r="F2" i="1"/>
  <c r="F3" i="1"/>
  <c r="H3" i="1" s="1"/>
  <c r="F18" i="1"/>
  <c r="H18" i="1" s="1"/>
  <c r="F22" i="1"/>
  <c r="H22" i="1" s="1"/>
  <c r="F21" i="1"/>
  <c r="H21" i="1" s="1"/>
  <c r="F17" i="1"/>
  <c r="H17" i="1" s="1"/>
  <c r="F13" i="1"/>
  <c r="H13" i="1" s="1"/>
  <c r="F9" i="1"/>
  <c r="H9" i="1" s="1"/>
  <c r="F5" i="1"/>
  <c r="H5" i="1" s="1"/>
  <c r="F16" i="1"/>
  <c r="H16" i="1" s="1"/>
  <c r="F12" i="1"/>
  <c r="H12" i="1" s="1"/>
  <c r="F8" i="1"/>
  <c r="H8" i="1" s="1"/>
  <c r="F4" i="1"/>
  <c r="H4" i="1" s="1"/>
  <c r="F20" i="1"/>
  <c r="H20" i="1" s="1"/>
  <c r="F14" i="1"/>
  <c r="H14" i="1" s="1"/>
  <c r="F6" i="1"/>
  <c r="H6" i="1" s="1"/>
  <c r="F23" i="1" l="1"/>
  <c r="H2" i="1"/>
  <c r="H23" i="1" s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<sst xmlns="http://schemas.openxmlformats.org/spreadsheetml/2006/main" count="31" uniqueCount="31">
  <si>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TICKER</t>
  </si>
  <si>
    <t>PONDERACION</t>
  </si>
  <si>
    <t>Nominal precio</t>
  </si>
  <si>
    <t>Nominales a comprar</t>
  </si>
  <si>
    <t>Ponderacion real por nominales</t>
  </si>
  <si>
    <t>En plata aprox</t>
  </si>
  <si>
    <t>Error cuadrado</t>
  </si>
  <si>
    <t>AAPL.BA</t>
  </si>
  <si>
    <t>ALUA.BA</t>
  </si>
  <si>
    <t>AMZN.BA</t>
  </si>
  <si>
    <t>BMA.BA</t>
  </si>
  <si>
    <t>BYMA.BA</t>
  </si>
  <si>
    <t>CEPU.BA</t>
  </si>
  <si>
    <t>GLD.BA</t>
  </si>
  <si>
    <t>INTC.BA</t>
  </si>
  <si>
    <t>KO.BA</t>
  </si>
  <si>
    <t>LOMA.BA</t>
  </si>
  <si>
    <t>MSFT.BA</t>
  </si>
  <si>
    <t>NU.BA</t>
  </si>
  <si>
    <t>PAMP.BA</t>
  </si>
  <si>
    <t>QQQ.BA</t>
  </si>
  <si>
    <t>SPY.BA</t>
  </si>
  <si>
    <t>TGSU2.BA</t>
  </si>
  <si>
    <t>TRAN.BA</t>
  </si>
  <si>
    <t>TSLA.BA</t>
  </si>
  <si>
    <t>TXAR.BA</t>
  </si>
  <si>
    <t>VALO.BA</t>
  </si>
  <si>
    <t>YPFD.BA</t>
  </si>
  <si>
    <t>Presupuesto</t>
  </si>
  <si>
    <t xml:space="preserve">Presupuesto ajustado </t>
  </si>
  <si>
    <t>Correlacion optimo vs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</si>
</sst>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14D53-7236-4E5D-8307-78765B68DE9B}" name="Tabla1" displayName="Tabla1" ref="B1:H23" totalsRowCount="1">
  <autoFilter ref="B1:H22" xr:uid="{FBC14D53-7236-4E5D-8307-78765B68DE9B}"/>
  <sortState xmlns:xlrd2="http://schemas.microsoft.com/office/spreadsheetml/2017/richdata2" ref="B2:D22">
    <sortCondition ref="B1:B22"/>
  </sortState>
  <tableColumns count="7">
    <tableColumn id="1" xr3:uid="{73FE040A-B7EF-4500-9C16-BB2F60627AFF}" name="TICKER"/>
    <tableColumn id="2" xr3:uid="{5273A604-DEBE-4140-9471-3172FE94D42E}" name="PONDERACION"/>
    <tableColumn id="3" xr3:uid="{5B7E2325-8498-4E44-A218-4F1E25B7C8E5}" name="Nominal precio"/>
    <tableColumn id="4" xr3:uid="{9F66478B-7C1F-4F9E-A2EE-D1313F644E79}" name="Nominales a comprar" dataDxfId="3">
      <calculatedColumnFormula>ROUND($M$1*Tabla1[[#This Row],[PONDERACION]]/Tabla1[[#This Row],[Nominal precio]],0)</calculatedColumnFormula>
    </tableColumn>
    <tableColumn id="5" xr3:uid="{2DDA3DE0-98D8-4055-A4DE-8920ABCC1BB4}" name="Ponderacion real por nominales" totalsRowFunction="custom" dataDxfId="2">
      <calculatedColumnFormula>Tabla1[[#This Row],[Nominales a comprar]]*Tabla1[[#This Row],[Nominal precio]]/$M$2</calculatedColumnFormula>
      <totalsRowFormula>SUM(Tabla1[Ponderacion real por nominales])</totalsRowFormula>
    </tableColumn>
    <tableColumn id="7" xr3:uid="{D1636FC5-E78E-47AF-B95B-80D2C9E20954}" name="En plata aprox" dataDxfId="1">
      <calculatedColumnFormula>Tabla1[[#This Row],[Nominal precio]]*Tabla1[[#This Row],[Nominales a comprar]]</calculatedColumnFormula>
    </tableColumn>
    <tableColumn id="6" xr3:uid="{277756BB-CF13-43BB-8041-BD4DAB70BF45}" name="Error cuadrado" totalsRowFunction="custom" dataDxfId="0">
      <calculatedColumnFormula>(Tabla1[[#This Row],[PONDERACION]]-Tabla1[[#This Row],[Ponderacion real por nominales]])^2</calculatedColumnFormula>
      <totalsRowFormula>SUM(Tabla1[Error cuadrado])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14BDE-9D28-40C1-9262-DA516249D494}">
  <dimension ref="B1:M23"/>
  <sheetViews>
    <sheetView tabSelected="1" workbookViewId="0">
      <selection activeCell="L13" sqref="L13"/>
    </sheetView>
  </sheetViews>
  <sheetFormatPr baseColWidth="10" defaultRowHeight="14.4" x14ac:dyDescent="0.3"/>
  <sheetData>
    <row r="1" spans="2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L1" t="s">
        <v>28</v>
      </c>
      <c r="M1">
        <v>1107000</v>
      </c>
    </row>
    <row r="2" spans="2:13" x14ac:dyDescent="0.3">
      <c r="B2" t="s">
        <v>7</v>
      </c>
      <c r="C2">
        <v>8.5300000000000001E-2</v>
      </c>
      <c r="D2">
        <v>10160</v>
      </c>
      <c r="E2">
        <f>ROUND($M$1*Tabla1[[#This Row],[PONDERACION]]/Tabla1[[#This Row],[Nominal precio]],0)</f>
        <v>9</v>
      </c>
      <c r="F2">
        <f>Tabla1[[#This Row],[Nominales a comprar]]*Tabla1[[#This Row],[Nominal precio]]/$M$2</f>
        <v>8.2229069648759395E-2</v>
      </c>
      <c r="G2">
        <f>Tabla1[[#This Row],[Nominal precio]]*Tabla1[[#This Row],[Nominales a comprar]]</f>
        <v>91440</v>
      </c>
      <c r="H2">
        <f>(Tabla1[[#This Row],[PONDERACION]]-Tabla1[[#This Row],[Ponderacion real por nominales]])^2</f>
        <v>9.4306132221707482E-6</v>
      </c>
      <c r="L2" t="s">
        <v>29</v>
      </c>
      <c r="M2" cm="1">
        <f t="array" ref="M2">SUM(Tabla1[Nominal precio]*Tabla1[Nominales a comprar])</f>
        <v>1112015.5</v>
      </c>
    </row>
    <row r="3" spans="2:13" x14ac:dyDescent="0.3">
      <c r="B3" s="1" t="s">
        <v>8</v>
      </c>
      <c r="C3">
        <v>1.9300000000000001E-2</v>
      </c>
      <c r="D3">
        <v>1009</v>
      </c>
      <c r="E3">
        <f>ROUND($M$1*Tabla1[[#This Row],[PONDERACION]]/Tabla1[[#This Row],[Nominal precio]],0)</f>
        <v>21</v>
      </c>
      <c r="F3">
        <f>Tabla1[[#This Row],[Nominales a comprar]]*Tabla1[[#This Row],[Nominal precio]]/$M$2</f>
        <v>1.905459051604946E-2</v>
      </c>
      <c r="G3">
        <f>Tabla1[[#This Row],[Nominal precio]]*Tabla1[[#This Row],[Nominales a comprar]]</f>
        <v>21189</v>
      </c>
      <c r="H3">
        <f>(Tabla1[[#This Row],[PONDERACION]]-Tabla1[[#This Row],[Ponderacion real por nominales]])^2</f>
        <v>6.022581481287101E-8</v>
      </c>
      <c r="L3" t="s">
        <v>30</v>
      </c>
      <c r="M3">
        <f>CORREL(Tabla1[PONDERACION],Tabla1[Ponderacion real por nominales])</f>
        <v>0.99084679946065168</v>
      </c>
    </row>
    <row r="4" spans="2:13" x14ac:dyDescent="0.3">
      <c r="B4" t="s">
        <v>9</v>
      </c>
      <c r="C4">
        <v>3.3799999999999997E-2</v>
      </c>
      <c r="D4">
        <v>2505</v>
      </c>
      <c r="E4">
        <f>ROUND($M$1*Tabla1[[#This Row],[PONDERACION]]/Tabla1[[#This Row],[Nominal precio]],0)</f>
        <v>15</v>
      </c>
      <c r="F4">
        <f>Tabla1[[#This Row],[Nominales a comprar]]*Tabla1[[#This Row],[Nominal precio]]/$M$2</f>
        <v>3.3789996632241186E-2</v>
      </c>
      <c r="G4">
        <f>Tabla1[[#This Row],[Nominal precio]]*Tabla1[[#This Row],[Nominales a comprar]]</f>
        <v>37575</v>
      </c>
      <c r="H4">
        <f>(Tabla1[[#This Row],[PONDERACION]]-Tabla1[[#This Row],[Ponderacion real por nominales]])^2</f>
        <v>1.0006736651801939E-10</v>
      </c>
    </row>
    <row r="5" spans="2:13" x14ac:dyDescent="0.3">
      <c r="B5" t="s">
        <v>10</v>
      </c>
      <c r="C5">
        <v>8.0999999999999996E-3</v>
      </c>
      <c r="D5">
        <v>13250</v>
      </c>
      <c r="E5">
        <f>ROUND($M$1*Tabla1[[#This Row],[PONDERACION]]/Tabla1[[#This Row],[Nominal precio]],0)</f>
        <v>1</v>
      </c>
      <c r="F5">
        <f>Tabla1[[#This Row],[Nominales a comprar]]*Tabla1[[#This Row],[Nominal precio]]/$M$2</f>
        <v>1.1915301540311264E-2</v>
      </c>
      <c r="G5">
        <f>Tabla1[[#This Row],[Nominal precio]]*Tabla1[[#This Row],[Nominales a comprar]]</f>
        <v>13250</v>
      </c>
      <c r="H5">
        <f>(Tabla1[[#This Row],[PONDERACION]]-Tabla1[[#This Row],[Ponderacion real por nominales]])^2</f>
        <v>1.4556525843501508E-5</v>
      </c>
    </row>
    <row r="6" spans="2:13" x14ac:dyDescent="0.3">
      <c r="B6" t="s">
        <v>11</v>
      </c>
      <c r="C6">
        <v>4.6100000000000002E-2</v>
      </c>
      <c r="D6">
        <v>287.5</v>
      </c>
      <c r="E6">
        <f>ROUND($M$1*Tabla1[[#This Row],[PONDERACION]]/Tabla1[[#This Row],[Nominal precio]],0)</f>
        <v>178</v>
      </c>
      <c r="F6">
        <f>Tabla1[[#This Row],[Nominales a comprar]]*Tabla1[[#This Row],[Nominal precio]]/$M$2</f>
        <v>4.6020041986824821E-2</v>
      </c>
      <c r="G6">
        <f>Tabla1[[#This Row],[Nominal precio]]*Tabla1[[#This Row],[Nominales a comprar]]</f>
        <v>51175</v>
      </c>
      <c r="H6">
        <f>(Tabla1[[#This Row],[PONDERACION]]-Tabla1[[#This Row],[Ponderacion real por nominales]])^2</f>
        <v>6.39328387092245E-9</v>
      </c>
    </row>
    <row r="7" spans="2:13" x14ac:dyDescent="0.3">
      <c r="B7" t="s">
        <v>12</v>
      </c>
      <c r="C7">
        <v>1.6500000000000001E-2</v>
      </c>
      <c r="D7">
        <v>2257</v>
      </c>
      <c r="E7">
        <f>ROUND($M$1*Tabla1[[#This Row],[PONDERACION]]/Tabla1[[#This Row],[Nominal precio]],0)</f>
        <v>8</v>
      </c>
      <c r="F7">
        <f>Tabla1[[#This Row],[Nominales a comprar]]*Tabla1[[#This Row],[Nominal precio]]/$M$2</f>
        <v>1.6237183744291336E-2</v>
      </c>
      <c r="G7">
        <f>Tabla1[[#This Row],[Nominal precio]]*Tabla1[[#This Row],[Nominales a comprar]]</f>
        <v>18056</v>
      </c>
      <c r="H7">
        <f>(Tabla1[[#This Row],[PONDERACION]]-Tabla1[[#This Row],[Ponderacion real por nominales]])^2</f>
        <v>6.9072384264722441E-8</v>
      </c>
    </row>
    <row r="8" spans="2:13" x14ac:dyDescent="0.3">
      <c r="B8" t="s">
        <v>13</v>
      </c>
      <c r="C8">
        <v>7.4499999999999997E-2</v>
      </c>
      <c r="D8">
        <v>11390</v>
      </c>
      <c r="E8">
        <f>ROUND($M$1*Tabla1[[#This Row],[PONDERACION]]/Tabla1[[#This Row],[Nominal precio]],0)</f>
        <v>7</v>
      </c>
      <c r="F8">
        <f>Tabla1[[#This Row],[Nominales a comprar]]*Tabla1[[#This Row],[Nominal precio]]/$M$2</f>
        <v>7.1698640891246571E-2</v>
      </c>
      <c r="G8">
        <f>Tabla1[[#This Row],[Nominal precio]]*Tabla1[[#This Row],[Nominales a comprar]]</f>
        <v>79730</v>
      </c>
      <c r="H8">
        <f>(Tabla1[[#This Row],[PONDERACION]]-Tabla1[[#This Row],[Ponderacion real por nominales]])^2</f>
        <v>7.8476128561957909E-6</v>
      </c>
      <c r="M8" s="2"/>
    </row>
    <row r="9" spans="2:13" x14ac:dyDescent="0.3">
      <c r="B9" t="s">
        <v>14</v>
      </c>
      <c r="C9">
        <v>0.11360000000000001</v>
      </c>
      <c r="D9">
        <v>31880</v>
      </c>
      <c r="E9">
        <f>ROUND($M$1*Tabla1[[#This Row],[PONDERACION]]/Tabla1[[#This Row],[Nominal precio]],0)</f>
        <v>4</v>
      </c>
      <c r="F9">
        <f>Tabla1[[#This Row],[Nominales a comprar]]*Tabla1[[#This Row],[Nominal precio]]/$M$2</f>
        <v>0.11467466056003715</v>
      </c>
      <c r="G9">
        <f>Tabla1[[#This Row],[Nominal precio]]*Tabla1[[#This Row],[Nominales a comprar]]</f>
        <v>127520</v>
      </c>
      <c r="H9">
        <f>(Tabla1[[#This Row],[PONDERACION]]-Tabla1[[#This Row],[Ponderacion real por nominales]])^2</f>
        <v>1.1548953192993537E-6</v>
      </c>
      <c r="M9" s="2"/>
    </row>
    <row r="10" spans="2:13" x14ac:dyDescent="0.3">
      <c r="B10" s="1" t="s">
        <v>15</v>
      </c>
      <c r="C10">
        <v>8.8999999999999996E-2</v>
      </c>
      <c r="D10">
        <v>25300</v>
      </c>
      <c r="E10">
        <f>ROUND($M$1*Tabla1[[#This Row],[PONDERACION]]/Tabla1[[#This Row],[Nominal precio]],0)</f>
        <v>4</v>
      </c>
      <c r="F10">
        <f>Tabla1[[#This Row],[Nominales a comprar]]*Tabla1[[#This Row],[Nominal precio]]/$M$2</f>
        <v>9.1005925726754713E-2</v>
      </c>
      <c r="G10">
        <f>Tabla1[[#This Row],[Nominal precio]]*Tabla1[[#This Row],[Nominales a comprar]]</f>
        <v>101200</v>
      </c>
      <c r="H10">
        <f>(Tabla1[[#This Row],[PONDERACION]]-Tabla1[[#This Row],[Ponderacion real por nominales]])^2</f>
        <v>4.0237380212564416E-6</v>
      </c>
      <c r="M10" s="2"/>
    </row>
    <row r="11" spans="2:13" x14ac:dyDescent="0.3">
      <c r="B11" t="s">
        <v>16</v>
      </c>
      <c r="C11">
        <v>9.9000000000000008E-3</v>
      </c>
      <c r="D11">
        <v>3467.5</v>
      </c>
      <c r="E11">
        <f>ROUND($M$1*Tabla1[[#This Row],[PONDERACION]]/Tabla1[[#This Row],[Nominal precio]],0)</f>
        <v>3</v>
      </c>
      <c r="F11">
        <f>Tabla1[[#This Row],[Nominales a comprar]]*Tabla1[[#This Row],[Nominal precio]]/$M$2</f>
        <v>9.3546357941953154E-3</v>
      </c>
      <c r="G11">
        <f>Tabla1[[#This Row],[Nominal precio]]*Tabla1[[#This Row],[Nominales a comprar]]</f>
        <v>10402.5</v>
      </c>
      <c r="H11">
        <f>(Tabla1[[#This Row],[PONDERACION]]-Tabla1[[#This Row],[Ponderacion real por nominales]])^2</f>
        <v>2.9742211697297523E-7</v>
      </c>
      <c r="M11" s="2"/>
    </row>
    <row r="12" spans="2:13" x14ac:dyDescent="0.3">
      <c r="B12" s="1" t="s">
        <v>17</v>
      </c>
      <c r="C12">
        <v>2.86E-2</v>
      </c>
      <c r="D12">
        <v>20240</v>
      </c>
      <c r="E12">
        <f>ROUND($M$1*Tabla1[[#This Row],[PONDERACION]]/Tabla1[[#This Row],[Nominal precio]],0)</f>
        <v>2</v>
      </c>
      <c r="F12">
        <f>Tabla1[[#This Row],[Nominales a comprar]]*Tabla1[[#This Row],[Nominal precio]]/$M$2</f>
        <v>3.6402370290701883E-2</v>
      </c>
      <c r="G12">
        <f>Tabla1[[#This Row],[Nominal precio]]*Tabla1[[#This Row],[Nominales a comprar]]</f>
        <v>40480</v>
      </c>
      <c r="H12">
        <f>(Tabla1[[#This Row],[PONDERACION]]-Tabla1[[#This Row],[Ponderacion real por nominales]])^2</f>
        <v>6.087698215322737E-5</v>
      </c>
      <c r="M12" s="2"/>
    </row>
    <row r="13" spans="2:13" x14ac:dyDescent="0.3">
      <c r="B13" t="s">
        <v>18</v>
      </c>
      <c r="C13">
        <v>2.7199999999999998E-2</v>
      </c>
      <c r="D13">
        <v>9025</v>
      </c>
      <c r="E13">
        <f>ROUND($M$1*Tabla1[[#This Row],[PONDERACION]]/Tabla1[[#This Row],[Nominal precio]],0)</f>
        <v>3</v>
      </c>
      <c r="F13">
        <f>Tabla1[[#This Row],[Nominales a comprar]]*Tabla1[[#This Row],[Nominal precio]]/$M$2</f>
        <v>2.4347682204069996E-2</v>
      </c>
      <c r="G13">
        <f>Tabla1[[#This Row],[Nominal precio]]*Tabla1[[#This Row],[Nominales a comprar]]</f>
        <v>27075</v>
      </c>
      <c r="H13">
        <f>(Tabla1[[#This Row],[PONDERACION]]-Tabla1[[#This Row],[Ponderacion real por nominales]])^2</f>
        <v>8.135716808978987E-6</v>
      </c>
      <c r="M13" s="2"/>
    </row>
    <row r="14" spans="2:13" x14ac:dyDescent="0.3">
      <c r="B14" t="s">
        <v>19</v>
      </c>
      <c r="C14">
        <v>3.5999999999999997E-2</v>
      </c>
      <c r="D14">
        <v>5070</v>
      </c>
      <c r="E14">
        <f>ROUND($M$1*Tabla1[[#This Row],[PONDERACION]]/Tabla1[[#This Row],[Nominal precio]],0)</f>
        <v>8</v>
      </c>
      <c r="F14">
        <f>Tabla1[[#This Row],[Nominales a comprar]]*Tabla1[[#This Row],[Nominal precio]]/$M$2</f>
        <v>3.6474311733964142E-2</v>
      </c>
      <c r="G14">
        <f>Tabla1[[#This Row],[Nominal precio]]*Tabla1[[#This Row],[Nominales a comprar]]</f>
        <v>40560</v>
      </c>
      <c r="H14">
        <f>(Tabla1[[#This Row],[PONDERACION]]-Tabla1[[#This Row],[Ponderacion real por nominales]])^2</f>
        <v>2.249716209760734E-7</v>
      </c>
    </row>
    <row r="15" spans="2:13" x14ac:dyDescent="0.3">
      <c r="B15" t="s">
        <v>20</v>
      </c>
      <c r="C15">
        <v>6.0299999999999999E-2</v>
      </c>
      <c r="D15">
        <v>52725</v>
      </c>
      <c r="E15">
        <f>ROUND($M$1*Tabla1[[#This Row],[PONDERACION]]/Tabla1[[#This Row],[Nominal precio]],0)</f>
        <v>1</v>
      </c>
      <c r="F15">
        <f>Tabla1[[#This Row],[Nominales a comprar]]*Tabla1[[#This Row],[Nominal precio]]/$M$2</f>
        <v>4.7413907450031045E-2</v>
      </c>
      <c r="G15">
        <f>Tabla1[[#This Row],[Nominal precio]]*Tabla1[[#This Row],[Nominales a comprar]]</f>
        <v>52725</v>
      </c>
      <c r="H15">
        <f>(Tabla1[[#This Row],[PONDERACION]]-Tabla1[[#This Row],[Ponderacion real por nominales]])^2</f>
        <v>1.6605138120636537E-4</v>
      </c>
    </row>
    <row r="16" spans="2:13" x14ac:dyDescent="0.3">
      <c r="B16" t="s">
        <v>21</v>
      </c>
      <c r="C16">
        <v>6.5100000000000005E-2</v>
      </c>
      <c r="D16">
        <v>18390</v>
      </c>
      <c r="E16">
        <f>ROUND($M$1*Tabla1[[#This Row],[PONDERACION]]/Tabla1[[#This Row],[Nominal precio]],0)</f>
        <v>4</v>
      </c>
      <c r="F16">
        <f>Tabla1[[#This Row],[Nominales a comprar]]*Tabla1[[#This Row],[Nominal precio]]/$M$2</f>
        <v>6.6150157079645028E-2</v>
      </c>
      <c r="G16">
        <f>Tabla1[[#This Row],[Nominal precio]]*Tabla1[[#This Row],[Nominales a comprar]]</f>
        <v>73560</v>
      </c>
      <c r="H16">
        <f>(Tabla1[[#This Row],[PONDERACION]]-Tabla1[[#This Row],[Ponderacion real por nominales]])^2</f>
        <v>1.1028298919285626E-6</v>
      </c>
    </row>
    <row r="17" spans="2:8" x14ac:dyDescent="0.3">
      <c r="B17" t="s">
        <v>22</v>
      </c>
      <c r="C17">
        <v>2.9499999999999998E-2</v>
      </c>
      <c r="D17">
        <v>9205</v>
      </c>
      <c r="E17">
        <f>ROUND($M$1*Tabla1[[#This Row],[PONDERACION]]/Tabla1[[#This Row],[Nominal precio]],0)</f>
        <v>4</v>
      </c>
      <c r="F17">
        <f>Tabla1[[#This Row],[Nominales a comprar]]*Tabla1[[#This Row],[Nominal precio]]/$M$2</f>
        <v>3.311104926145364E-2</v>
      </c>
      <c r="G17">
        <f>Tabla1[[#This Row],[Nominal precio]]*Tabla1[[#This Row],[Nominales a comprar]]</f>
        <v>36820</v>
      </c>
      <c r="H17">
        <f>(Tabla1[[#This Row],[PONDERACION]]-Tabla1[[#This Row],[Ponderacion real por nominales]])^2</f>
        <v>1.3039676768644891E-5</v>
      </c>
    </row>
    <row r="18" spans="2:8" x14ac:dyDescent="0.3">
      <c r="B18" t="s">
        <v>23</v>
      </c>
      <c r="C18">
        <v>7.6399999999999996E-2</v>
      </c>
      <c r="D18">
        <v>3910</v>
      </c>
      <c r="E18">
        <f>ROUND($M$1*Tabla1[[#This Row],[PONDERACION]]/Tabla1[[#This Row],[Nominal precio]],0)</f>
        <v>22</v>
      </c>
      <c r="F18">
        <f>Tabla1[[#This Row],[Nominales a comprar]]*Tabla1[[#This Row],[Nominal precio]]/$M$2</f>
        <v>7.7355036867741506E-2</v>
      </c>
      <c r="G18">
        <f>Tabla1[[#This Row],[Nominal precio]]*Tabla1[[#This Row],[Nominales a comprar]]</f>
        <v>86020</v>
      </c>
      <c r="H18">
        <f>(Tabla1[[#This Row],[PONDERACION]]-Tabla1[[#This Row],[Ponderacion real por nominales]])^2</f>
        <v>9.1209541874551438E-7</v>
      </c>
    </row>
    <row r="19" spans="2:8" x14ac:dyDescent="0.3">
      <c r="B19" s="1" t="s">
        <v>24</v>
      </c>
      <c r="C19">
        <v>2.7900000000000001E-2</v>
      </c>
      <c r="D19">
        <v>38660</v>
      </c>
      <c r="E19">
        <f>ROUND($M$1*Tabla1[[#This Row],[PONDERACION]]/Tabla1[[#This Row],[Nominal precio]],0)</f>
        <v>1</v>
      </c>
      <c r="F19">
        <f>Tabla1[[#This Row],[Nominales a comprar]]*Tabla1[[#This Row],[Nominal precio]]/$M$2</f>
        <v>3.4765702456485546E-2</v>
      </c>
      <c r="G19">
        <f>Tabla1[[#This Row],[Nominal precio]]*Tabla1[[#This Row],[Nominales a comprar]]</f>
        <v>38660</v>
      </c>
      <c r="H19">
        <f>(Tabla1[[#This Row],[PONDERACION]]-Tabla1[[#This Row],[Ponderacion real por nominales]])^2</f>
        <v>4.7137870220991647E-5</v>
      </c>
    </row>
    <row r="20" spans="2:8" x14ac:dyDescent="0.3">
      <c r="B20" t="s">
        <v>25</v>
      </c>
      <c r="C20">
        <v>7.3000000000000001E-3</v>
      </c>
      <c r="D20">
        <v>678</v>
      </c>
      <c r="E20">
        <f>ROUND($M$1*Tabla1[[#This Row],[PONDERACION]]/Tabla1[[#This Row],[Nominal precio]],0)</f>
        <v>12</v>
      </c>
      <c r="F20">
        <f>Tabla1[[#This Row],[Nominales a comprar]]*Tabla1[[#This Row],[Nominal precio]]/$M$2</f>
        <v>7.3164447797715053E-3</v>
      </c>
      <c r="G20">
        <f>Tabla1[[#This Row],[Nominal precio]]*Tabla1[[#This Row],[Nominales a comprar]]</f>
        <v>8136</v>
      </c>
      <c r="H20">
        <f>(Tabla1[[#This Row],[PONDERACION]]-Tabla1[[#This Row],[Ponderacion real por nominales]])^2</f>
        <v>2.7043078173330613E-10</v>
      </c>
    </row>
    <row r="21" spans="2:8" x14ac:dyDescent="0.3">
      <c r="B21" t="s">
        <v>26</v>
      </c>
      <c r="C21">
        <v>6.6199999999999995E-2</v>
      </c>
      <c r="D21">
        <v>626</v>
      </c>
      <c r="E21">
        <f>ROUND($M$1*Tabla1[[#This Row],[PONDERACION]]/Tabla1[[#This Row],[Nominal precio]],0)</f>
        <v>117</v>
      </c>
      <c r="F21">
        <f>Tabla1[[#This Row],[Nominales a comprar]]*Tabla1[[#This Row],[Nominal precio]]/$M$2</f>
        <v>6.5864189842677556E-2</v>
      </c>
      <c r="G21">
        <f>Tabla1[[#This Row],[Nominal precio]]*Tabla1[[#This Row],[Nominales a comprar]]</f>
        <v>73242</v>
      </c>
      <c r="H21">
        <f>(Tabla1[[#This Row],[PONDERACION]]-Tabla1[[#This Row],[Ponderacion real por nominales]])^2</f>
        <v>1.1276846176092102E-7</v>
      </c>
    </row>
    <row r="22" spans="2:8" x14ac:dyDescent="0.3">
      <c r="B22" t="s">
        <v>27</v>
      </c>
      <c r="C22">
        <v>7.9200000000000007E-2</v>
      </c>
      <c r="D22">
        <v>83200</v>
      </c>
      <c r="E22">
        <f>ROUND($M$1*Tabla1[[#This Row],[PONDERACION]]/Tabla1[[#This Row],[Nominal precio]],0)</f>
        <v>1</v>
      </c>
      <c r="F22">
        <f>Tabla1[[#This Row],[Nominales a comprar]]*Tabla1[[#This Row],[Nominal precio]]/$M$2</f>
        <v>7.4819100992746954E-2</v>
      </c>
      <c r="G22">
        <f>Tabla1[[#This Row],[Nominal precio]]*Tabla1[[#This Row],[Nominales a comprar]]</f>
        <v>83200</v>
      </c>
      <c r="H22">
        <f>(Tabla1[[#This Row],[PONDERACION]]-Tabla1[[#This Row],[Ponderacion real por nominales]])^2</f>
        <v>1.9192276111750785E-5</v>
      </c>
    </row>
    <row r="23" spans="2:8" x14ac:dyDescent="0.3">
      <c r="F23">
        <f>SUM(Tabla1[Ponderacion real por nominales])</f>
        <v>1.0000000000000002</v>
      </c>
      <c r="H23">
        <f>SUM(Tabla1[Error cuadrado])</f>
        <v>3.5423343802386368E-4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Octavio Gori</dc:creator>
  <cp:lastModifiedBy>Federico Octavio Gori</cp:lastModifiedBy>
  <dcterms:created xsi:type="dcterms:W3CDTF">2026-06-15T00:33:37Z</dcterms:created>
  <dcterms:modified xsi:type="dcterms:W3CDTF">2026-06-15T00:36:06Z</dcterms:modified>
</cp:coreProperties>
</file>